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</sheets>
  <definedNames/>
  <calcPr/>
</workbook>
</file>

<file path=xl/sharedStrings.xml><?xml version="1.0" encoding="utf-8"?>
<sst xmlns="http://schemas.openxmlformats.org/spreadsheetml/2006/main" count="16" uniqueCount="16">
  <si>
    <t>Canal</t>
  </si>
  <si>
    <t>Impressions</t>
  </si>
  <si>
    <t>Clics</t>
  </si>
  <si>
    <t>Conversions</t>
  </si>
  <si>
    <t>Coût (€)</t>
  </si>
  <si>
    <t>Revenu (€)</t>
  </si>
  <si>
    <t>CTR (%)</t>
  </si>
  <si>
    <t>CPC (€)</t>
  </si>
  <si>
    <t>CPA (€)</t>
  </si>
  <si>
    <t>ROI (%)</t>
  </si>
  <si>
    <t>Instagram Ads</t>
  </si>
  <si>
    <t>Google Ads</t>
  </si>
  <si>
    <t>Email Marketing</t>
  </si>
  <si>
    <t>Facebook Ads</t>
  </si>
  <si>
    <t>LinkedIn Ads</t>
  </si>
  <si>
    <t>Instructions: Calculez CTR, CPC, CPA et ROI avec des formules Excel.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</si>
</sst>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86"/>
    <col customWidth="1" min="6" max="6" width="16.71"/>
    <col customWidth="1" min="7" max="9" width="10.86"/>
    <col customWidth="1" min="10" max="10" width="13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10</v>
      </c>
      <c r="B2" s="2">
        <v>400000.0</v>
      </c>
      <c r="C2" s="2">
        <v>16000.0</v>
      </c>
      <c r="D2" s="2">
        <v>800.0</v>
      </c>
      <c r="E2" s="2">
        <v>8000.0</v>
      </c>
      <c r="F2" s="2">
        <v>32000.0</v>
      </c>
      <c r="G2" s="2">
        <f t="shared" ref="G2:G6" si="1">C2/B2*100</f>
        <v>4</v>
      </c>
      <c r="H2" s="2">
        <f t="shared" ref="H2:H6" si="2">E2/C2</f>
        <v>0.5</v>
      </c>
      <c r="I2" s="2">
        <f t="shared" ref="I2:I6" si="3">E2/D2</f>
        <v>10</v>
      </c>
      <c r="J2" s="2">
        <f t="shared" ref="J2:J6" si="4">(F2-E2)/E2*100</f>
        <v>300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11</v>
      </c>
      <c r="B3" s="2">
        <v>200000.0</v>
      </c>
      <c r="C3" s="2">
        <v>12000.0</v>
      </c>
      <c r="D3" s="2">
        <v>1000.0</v>
      </c>
      <c r="E3" s="2">
        <v>12000.0</v>
      </c>
      <c r="F3" s="2">
        <v>50000.0</v>
      </c>
      <c r="G3" s="2">
        <f t="shared" si="1"/>
        <v>6</v>
      </c>
      <c r="H3" s="2">
        <f t="shared" si="2"/>
        <v>1</v>
      </c>
      <c r="I3" s="2">
        <f t="shared" si="3"/>
        <v>12</v>
      </c>
      <c r="J3" s="2">
        <f t="shared" si="4"/>
        <v>316.6666667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12</v>
      </c>
      <c r="B4" s="2">
        <v>60000.0</v>
      </c>
      <c r="C4" s="2">
        <v>9000.0</v>
      </c>
      <c r="D4" s="2">
        <v>1500.0</v>
      </c>
      <c r="E4" s="2">
        <v>3000.0</v>
      </c>
      <c r="F4" s="2">
        <v>45000.0</v>
      </c>
      <c r="G4" s="2">
        <f t="shared" si="1"/>
        <v>15</v>
      </c>
      <c r="H4" s="2">
        <f t="shared" si="2"/>
        <v>0.3333333333</v>
      </c>
      <c r="I4" s="2">
        <f t="shared" si="3"/>
        <v>2</v>
      </c>
      <c r="J4" s="2">
        <f t="shared" si="4"/>
        <v>1400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13</v>
      </c>
      <c r="B5" s="2">
        <v>50000.0</v>
      </c>
      <c r="C5" s="2">
        <v>2500.0</v>
      </c>
      <c r="D5" s="2">
        <v>150.0</v>
      </c>
      <c r="E5" s="2">
        <v>1200.0</v>
      </c>
      <c r="F5" s="2">
        <v>4500.0</v>
      </c>
      <c r="G5" s="2">
        <f t="shared" si="1"/>
        <v>5</v>
      </c>
      <c r="H5" s="2">
        <f t="shared" si="2"/>
        <v>0.48</v>
      </c>
      <c r="I5" s="2">
        <f t="shared" si="3"/>
        <v>8</v>
      </c>
      <c r="J5" s="2">
        <f t="shared" si="4"/>
        <v>275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14</v>
      </c>
      <c r="B6" s="2">
        <v>20000.0</v>
      </c>
      <c r="C6" s="2">
        <v>900.0</v>
      </c>
      <c r="D6" s="2">
        <v>60.0</v>
      </c>
      <c r="E6" s="2">
        <v>1100.0</v>
      </c>
      <c r="F6" s="2">
        <v>2500.0</v>
      </c>
      <c r="G6" s="2">
        <f t="shared" si="1"/>
        <v>4.5</v>
      </c>
      <c r="H6" s="2">
        <f t="shared" si="2"/>
        <v>1.222222222</v>
      </c>
      <c r="I6" s="2">
        <f t="shared" si="3"/>
        <v>18.33333333</v>
      </c>
      <c r="J6" s="2">
        <f t="shared" si="4"/>
        <v>127.2727273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3" footer="0.0" header="0.0" left="0.7" right="0.7" top="0.3"/>
  <pageSetup paperSize="9" orientation="portrait"/>
  <drawing r:id="rId1"/>
</worksheet>
</file>